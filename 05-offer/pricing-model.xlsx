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Modules" sheetId="2" state="visible" r:id="rId2"/>
    <sheet xmlns:r="http://schemas.openxmlformats.org/officeDocument/2006/relationships" name="Packages" sheetId="3" state="visible" r:id="rId3"/>
    <sheet xmlns:r="http://schemas.openxmlformats.org/officeDocument/2006/relationships" name="AI scenarios"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
    <numFmt numFmtId="167" formatCode="0.0;(0.0);-"/>
    <numFmt numFmtId="168" formatCode="0.00;(0.00);-"/>
  </numFmts>
  <fonts count="7">
    <font>
      <name val="Calibri"/>
      <family val="2"/>
      <color theme="1"/>
      <sz val="11"/>
      <scheme val="minor"/>
    </font>
    <font>
      <name val="Arial"/>
      <b val="1"/>
      <sz val="14"/>
    </font>
    <font>
      <name val="Arial"/>
      <i val="1"/>
      <color rgb="00555555"/>
    </font>
    <font>
      <name val="Arial"/>
      <b val="1"/>
    </font>
    <font>
      <name val="Arial"/>
    </font>
    <font>
      <name val="Arial"/>
      <color rgb="000000FF"/>
    </font>
    <font>
      <name val="Arial"/>
      <color rgb="00008000"/>
    </font>
  </fonts>
  <fills count="5">
    <fill>
      <patternFill/>
    </fill>
    <fill>
      <patternFill patternType="gray125"/>
    </fill>
    <fill>
      <patternFill patternType="solid">
        <fgColor rgb="00D9E1F2"/>
      </patternFill>
    </fill>
    <fill>
      <patternFill patternType="solid">
        <fgColor rgb="00FFFF00"/>
      </patternFill>
    </fill>
    <fill>
      <patternFill patternType="solid">
        <fgColor rgb="00F2F2F2"/>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pivotButton="0" quotePrefix="0" xfId="0"/>
    <xf numFmtId="0" fontId="5" fillId="3" borderId="0" pivotButton="0" quotePrefix="0" xfId="0"/>
    <xf numFmtId="0" fontId="2" fillId="0" borderId="0" applyAlignment="1" pivotButton="0" quotePrefix="0" xfId="0">
      <alignment wrapText="1"/>
    </xf>
    <xf numFmtId="0" fontId="5" fillId="0" borderId="0" pivotButton="0" quotePrefix="0" xfId="0"/>
    <xf numFmtId="164" fontId="5" fillId="3" borderId="0" pivotButton="0" quotePrefix="0" xfId="0"/>
    <xf numFmtId="165" fontId="5" fillId="3" borderId="0" pivotButton="0" quotePrefix="0" xfId="0"/>
    <xf numFmtId="164" fontId="5" fillId="0" borderId="0" pivotButton="0" quotePrefix="0" xfId="0"/>
    <xf numFmtId="0" fontId="3" fillId="0" borderId="0" pivotButton="0" quotePrefix="0" xfId="0"/>
    <xf numFmtId="0" fontId="5" fillId="0" borderId="0" applyAlignment="1" pivotButton="0" quotePrefix="0" xfId="0">
      <alignment wrapText="1"/>
    </xf>
    <xf numFmtId="166" fontId="5" fillId="3" borderId="0" pivotButton="0" quotePrefix="0" xfId="0"/>
    <xf numFmtId="166" fontId="6" fillId="0" borderId="0" pivotButton="0" quotePrefix="0" xfId="0"/>
    <xf numFmtId="166" fontId="3" fillId="4" borderId="0" pivotButton="0" quotePrefix="0" xfId="0"/>
    <xf numFmtId="167" fontId="6" fillId="0" borderId="0" pivotButton="0" quotePrefix="0" xfId="0"/>
    <xf numFmtId="0" fontId="6" fillId="0" borderId="0" pivotButton="0" quotePrefix="0" xfId="0"/>
    <xf numFmtId="2" fontId="5" fillId="0" borderId="0" pivotButton="0" quotePrefix="0" xfId="0"/>
    <xf numFmtId="0" fontId="3" fillId="2" borderId="0" pivotButton="0" quotePrefix="0" xfId="0"/>
    <xf numFmtId="0" fontId="0" fillId="2" borderId="0" pivotButton="0" quotePrefix="0" xfId="0"/>
    <xf numFmtId="166" fontId="4" fillId="0" borderId="0" pivotButton="0" quotePrefix="0" xfId="0"/>
    <xf numFmtId="167" fontId="4" fillId="0" borderId="0" pivotButton="0" quotePrefix="0" xfId="0"/>
    <xf numFmtId="164" fontId="4" fillId="0" borderId="0" pivotButton="0" quotePrefix="0" xfId="0"/>
    <xf numFmtId="164" fontId="3" fillId="4" borderId="0" pivotButton="0" quotePrefix="0" xfId="0"/>
    <xf numFmtId="165" fontId="3" fillId="4" borderId="0" pivotButton="0" quotePrefix="0" xfId="0"/>
    <xf numFmtId="168" fontId="4" fillId="0" borderId="0" pivotButton="0" quotePrefix="0" xfId="0"/>
    <xf numFmtId="165" fontId="5" fillId="0" borderId="0" pivotButton="0" quotePrefix="0" xfId="0"/>
    <xf numFmtId="165"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Claude</author>
  </authors>
  <commentList>
    <comment ref="D4" authorId="0" shapeId="0">
      <text>
        <t>Founder-supplied total: 3-6 person-months for the full security scope on one ECU (2026-10-25). Module split is Claude's estimate.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2" customWidth="1" min="1" max="1"/>
    <col width="14" customWidth="1" min="2" max="2"/>
    <col width="14" customWidth="1" min="3" max="3"/>
    <col width="95" customWidth="1" min="4" max="4"/>
  </cols>
  <sheetData>
    <row r="1">
      <c r="A1" s="1" t="inlineStr">
        <is>
          <t>Secure ECU Package: pricing model inputs</t>
        </is>
      </c>
    </row>
    <row r="2">
      <c r="A2" s="2" t="inlineStr">
        <is>
          <t>Edit only blue cells. Yellow = key assumptions to replace with your own data. All other sheets recalculate.</t>
        </is>
      </c>
    </row>
    <row r="4">
      <c r="A4" s="3" t="inlineStr">
        <is>
          <t>Parameter</t>
        </is>
      </c>
      <c r="B4" s="3" t="inlineStr">
        <is>
          <t>Value</t>
        </is>
      </c>
      <c r="C4" s="3" t="inlineStr">
        <is>
          <t>Unit</t>
        </is>
      </c>
      <c r="D4" s="3" t="inlineStr">
        <is>
          <t>Source / note</t>
        </is>
      </c>
    </row>
    <row r="5">
      <c r="A5" s="4" t="inlineStr">
        <is>
          <t>Estimate point used (1 = Low, 2 = Mid, 3 = High)</t>
        </is>
      </c>
      <c r="B5" s="5" t="n">
        <v>2</v>
      </c>
      <c r="C5" s="4" t="inlineStr">
        <is>
          <t>1/2/3</t>
        </is>
      </c>
      <c r="D5" s="6" t="inlineStr">
        <is>
          <t>Picks which module-hours column drives all prices (Mid = average of Low and High).</t>
        </is>
      </c>
    </row>
    <row r="6">
      <c r="A6" s="4" t="inlineStr">
        <is>
          <t>Hours per person-month</t>
        </is>
      </c>
      <c r="B6" s="7" t="n">
        <v>160</v>
      </c>
      <c r="C6" s="4" t="inlineStr">
        <is>
          <t>h</t>
        </is>
      </c>
      <c r="D6" s="6" t="inlineStr">
        <is>
          <t>Same basis as Phase 3 pricing-landscape.md.</t>
        </is>
      </c>
    </row>
    <row r="7">
      <c r="A7" s="4" t="inlineStr">
        <is>
          <t>Internal loaded cost per hour</t>
        </is>
      </c>
      <c r="B7" s="8" t="n">
        <v>45</v>
      </c>
      <c r="C7" s="4" t="inlineStr">
        <is>
          <t>EUR/h</t>
        </is>
      </c>
      <c r="D7" s="6" t="inlineStr">
        <is>
          <t>Assumption: EUR 6-8k per senior person-month in Cairo incl. tools, LLM usage, overhead. Founders to replace.</t>
        </is>
      </c>
    </row>
    <row r="8">
      <c r="A8" s="4" t="inlineStr">
        <is>
          <t>Evidence overhead (% of core engineering hours)</t>
        </is>
      </c>
      <c r="B8" s="9" t="n">
        <v>0.3</v>
      </c>
      <c r="C8" s="4" t="inlineStr">
        <is>
          <t>%</t>
        </is>
      </c>
      <c r="D8" s="6" t="inlineStr">
        <is>
          <t>Assumption: ASPICE SWE.2-6 work products + traceability for the scope. Founders to replace.</t>
        </is>
      </c>
    </row>
    <row r="9">
      <c r="A9" s="4" t="inlineStr">
        <is>
          <t>PM, reviews and named sign-off (% of core + evidence)</t>
        </is>
      </c>
      <c r="B9" s="9" t="n">
        <v>0.1</v>
      </c>
      <c r="C9" s="4" t="inlineStr">
        <is>
          <t>%</t>
        </is>
      </c>
      <c r="D9" s="6" t="inlineStr">
        <is>
          <t>Assumption.</t>
        </is>
      </c>
    </row>
    <row r="10">
      <c r="A10" s="4" t="inlineStr">
        <is>
          <t>AI saving on engineering hours</t>
        </is>
      </c>
      <c r="B10" s="9" t="n">
        <v>0.15</v>
      </c>
      <c r="C10" s="4" t="inlineStr">
        <is>
          <t>%</t>
        </is>
      </c>
      <c r="D10" s="6" t="inlineStr">
        <is>
          <t>Assumption, unmeasured. Capgemini (Oct 2026): high-value adopters report 17% faster cycles, 19% higher productivity. Set 0% for a no-AI baseline.</t>
        </is>
      </c>
    </row>
    <row r="11">
      <c r="A11" s="4" t="inlineStr">
        <is>
          <t>AI saving on evidence hours</t>
        </is>
      </c>
      <c r="B11" s="9" t="n">
        <v>0.15</v>
      </c>
      <c r="C11" s="4" t="inlineStr">
        <is>
          <t>%</t>
        </is>
      </c>
      <c r="D11" s="6" t="inlineStr">
        <is>
          <t>Assumption, unmeasured.</t>
        </is>
      </c>
    </row>
    <row r="12">
      <c r="A12" s="4" t="inlineStr">
        <is>
          <t>Contingency on our hours (fixed-price risk)</t>
        </is>
      </c>
      <c r="B12" s="9" t="n">
        <v>0.15</v>
      </c>
      <c r="C12" s="4" t="inlineStr">
        <is>
          <t>%</t>
        </is>
      </c>
      <c r="D12" s="6" t="inlineStr">
        <is>
          <t>Assumption: covers estimation error on a fixed price.</t>
        </is>
      </c>
    </row>
    <row r="13">
      <c r="A13" s="4" t="inlineStr">
        <is>
          <t>Guarantee reserve (% of price)</t>
        </is>
      </c>
      <c r="B13" s="9" t="n">
        <v>0.1</v>
      </c>
      <c r="C13" s="4" t="inlineStr">
        <is>
          <t>%</t>
        </is>
      </c>
      <c r="D13" s="6" t="inlineStr">
        <is>
          <t>Assumption: funds free fixes of findings on our scope (offer guarantee).</t>
        </is>
      </c>
    </row>
    <row r="14">
      <c r="A14" s="4" t="inlineStr">
        <is>
          <t>Target gross margin (% of price)</t>
        </is>
      </c>
      <c r="B14" s="9" t="n">
        <v>0.35</v>
      </c>
      <c r="C14" s="4" t="inlineStr">
        <is>
          <t>%</t>
        </is>
      </c>
      <c r="D14" s="6" t="inlineStr">
        <is>
          <t>Assumption: founders' choice.</t>
        </is>
      </c>
    </row>
    <row r="15">
      <c r="A15" s="4" t="inlineStr">
        <is>
          <t>Reference market rate for value-based price</t>
        </is>
      </c>
      <c r="B15" s="8" t="n">
        <v>95</v>
      </c>
      <c r="C15" s="4" t="inlineStr">
        <is>
          <t>EUR/h</t>
        </is>
      </c>
      <c r="D15" s="6" t="inlineStr">
        <is>
          <t>DACH IT freelancer median EUR 95/h (freelancermap 2026), the buyer's most common alternative (Phase 4 A1).</t>
        </is>
      </c>
    </row>
    <row r="16">
      <c r="A16" s="4" t="inlineStr">
        <is>
          <t>AI pass-through to customer (% of AI saving)</t>
        </is>
      </c>
      <c r="B16" s="9" t="n">
        <v>0.5</v>
      </c>
      <c r="C16" s="4" t="inlineStr">
        <is>
          <t>%</t>
        </is>
      </c>
      <c r="D16" s="6" t="inlineStr">
        <is>
          <t>Founders' choice: share of the AI saving given back in the value-based price (Phase 4: 'AI savings on your invoice').</t>
        </is>
      </c>
    </row>
    <row r="17">
      <c r="A17" s="4" t="inlineStr">
        <is>
          <t>Price rounding step</t>
        </is>
      </c>
      <c r="B17" s="10" t="n">
        <v>5000</v>
      </c>
      <c r="C17" s="4" t="inlineStr">
        <is>
          <t>EUR</t>
        </is>
      </c>
      <c r="D17" s="6" t="inlineStr">
        <is>
          <t>Prices are rounded up to this step.</t>
        </is>
      </c>
    </row>
    <row r="18">
      <c r="A18" s="4" t="inlineStr">
        <is>
          <t>Delivery team size</t>
        </is>
      </c>
      <c r="B18" s="7" t="n">
        <v>2</v>
      </c>
      <c r="C18" s="4" t="inlineStr">
        <is>
          <t>people</t>
        </is>
      </c>
      <c r="D18" s="6" t="inlineStr">
        <is>
          <t>The two founders.</t>
        </is>
      </c>
    </row>
    <row r="19">
      <c r="A19" s="4" t="inlineStr">
        <is>
          <t>Productive hours per person per week</t>
        </is>
      </c>
      <c r="B19" s="7" t="n">
        <v>35</v>
      </c>
      <c r="C19" s="4" t="inlineStr">
        <is>
          <t>h</t>
        </is>
      </c>
      <c r="D19" s="6" t="inlineStr">
        <is>
          <t>Assumption.</t>
        </is>
      </c>
    </row>
    <row r="20">
      <c r="A20" s="4" t="inlineStr">
        <is>
          <t>Working weeks per year</t>
        </is>
      </c>
      <c r="B20" s="7" t="n">
        <v>44</v>
      </c>
      <c r="C20" s="4" t="inlineStr">
        <is>
          <t>weeks</t>
        </is>
      </c>
      <c r="D20" s="6" t="inlineStr">
        <is>
          <t>Assumption.</t>
        </is>
      </c>
    </row>
    <row r="22">
      <c r="A22" s="11" t="inlineStr">
        <is>
          <t>Market reference rates (customer's alternative)</t>
        </is>
      </c>
    </row>
    <row r="23">
      <c r="A23" s="3" t="inlineStr">
        <is>
          <t>Alternative</t>
        </is>
      </c>
      <c r="B23" s="3" t="inlineStr">
        <is>
          <t>Low (EUR/h)</t>
        </is>
      </c>
      <c r="C23" s="3" t="inlineStr">
        <is>
          <t>High (EUR/h)</t>
        </is>
      </c>
      <c r="D23" s="3" t="inlineStr">
        <is>
          <t>Source / note</t>
        </is>
      </c>
    </row>
    <row r="24">
      <c r="A24" s="4" t="inlineStr">
        <is>
          <t>German ESP / vendor services (onsite)</t>
        </is>
      </c>
      <c r="B24" s="10" t="n">
        <v>85</v>
      </c>
      <c r="C24" s="10" t="n">
        <v>130</v>
      </c>
      <c r="D24" s="2" t="inlineStr">
        <is>
          <t>Phase 3 pricing-landscape.md (EUR 85-130/h).</t>
        </is>
      </c>
    </row>
    <row r="25">
      <c r="A25" s="4" t="inlineStr">
        <is>
          <t>DACH freelancer</t>
        </is>
      </c>
      <c r="B25" s="10" t="n">
        <v>80</v>
      </c>
      <c r="C25" s="10" t="n">
        <v>120</v>
      </c>
      <c r="D25" s="2" t="inlineStr">
        <is>
          <t>freelancermap 2026: median EUR 95/h, range 80-120 (Phase 4 A1).</t>
        </is>
      </c>
    </row>
    <row r="26">
      <c r="A26" s="4" t="inlineStr">
        <is>
          <t>Eastern Europe ESP</t>
        </is>
      </c>
      <c r="B26" s="10" t="n">
        <v>45</v>
      </c>
      <c r="C26" s="10" t="n">
        <v>75</v>
      </c>
      <c r="D26" s="2" t="inlineStr">
        <is>
          <t>Phase 3 pricing-landscape.md.</t>
        </is>
      </c>
    </row>
    <row r="27">
      <c r="A27" s="4" t="inlineStr">
        <is>
          <t>India / Egypt ESP (T&amp;M)</t>
        </is>
      </c>
      <c r="B27" s="10" t="n">
        <v>23</v>
      </c>
      <c r="C27" s="10" t="n">
        <v>41</v>
      </c>
      <c r="D27" s="2" t="inlineStr">
        <is>
          <t>Phase 3: USD 25-45/h, i.e. EUR 3.6-6.5k per PM / 160 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showGridLines="0" workbookViewId="0">
      <selection activeCell="A1" sqref="A1"/>
    </sheetView>
  </sheetViews>
  <sheetFormatPr baseColWidth="8" defaultRowHeight="15"/>
  <cols>
    <col width="6" customWidth="1" min="1" max="1"/>
    <col width="40" customWidth="1" min="2" max="2"/>
    <col width="70" customWidth="1" min="3" max="3"/>
    <col width="11" customWidth="1" min="4" max="4"/>
    <col width="11" customWidth="1" min="5" max="5"/>
    <col width="14" customWidth="1" min="6" max="6"/>
    <col width="40" customWidth="1" min="7" max="7"/>
  </cols>
  <sheetData>
    <row r="1">
      <c r="A1" s="1" t="inlineStr">
        <is>
          <t>Effort per module: baseline hours for ONE new ECU, without AI</t>
        </is>
      </c>
    </row>
    <row r="2">
      <c r="A2" s="2" t="inlineStr">
        <is>
          <t>Edit blue cells. Low/High hours are Claude's split of your 3-6 person-month total (480-960 h) across modules; replace them with your own numbers from past programmes. Spare rows M9-M10 can hold extra modules.</t>
        </is>
      </c>
    </row>
    <row r="4">
      <c r="A4" s="3" t="inlineStr">
        <is>
          <t>ID</t>
        </is>
      </c>
      <c r="B4" s="3" t="inlineStr">
        <is>
          <t>Module / work item</t>
        </is>
      </c>
      <c r="C4" s="3" t="inlineStr">
        <is>
          <t>What's included</t>
        </is>
      </c>
      <c r="D4" s="3" t="inlineStr">
        <is>
          <t>Low (h)</t>
        </is>
      </c>
      <c r="E4" s="3" t="inlineStr">
        <is>
          <t>High (h)</t>
        </is>
      </c>
      <c r="F4" s="3" t="inlineStr">
        <is>
          <t>Hours used (h)</t>
        </is>
      </c>
      <c r="G4" s="3" t="inlineStr">
        <is>
          <t>Founder notes</t>
        </is>
      </c>
    </row>
    <row r="5">
      <c r="A5" s="4" t="inlineStr">
        <is>
          <t>M1</t>
        </is>
      </c>
      <c r="B5" s="7" t="inlineStr">
        <is>
          <t>Scope lock and setup</t>
        </is>
      </c>
      <c r="C5" s="12" t="inlineStr">
        <is>
          <t>Security requirements / TARA goals review; stack, MCU, HSM and bootloader audit; acceptance tests; project setup</t>
        </is>
      </c>
      <c r="D5" s="13" t="n">
        <v>32</v>
      </c>
      <c r="E5" s="13" t="n">
        <v>56</v>
      </c>
      <c r="F5" s="14">
        <f>CHOOSE(Inputs!$B$5,D5,(D5+E5)/2,E5)</f>
        <v/>
      </c>
      <c r="G5" s="7" t="n"/>
    </row>
    <row r="6">
      <c r="A6" s="4" t="inlineStr">
        <is>
          <t>M2</t>
        </is>
      </c>
      <c r="B6" s="7" t="inlineStr">
        <is>
          <t>HSM integration and HSM updater</t>
        </is>
      </c>
      <c r="C6" s="12" t="inlineStr">
        <is>
          <t>HSM firmware integration, host-HSM communication, HSM updater from bootloader/OTA</t>
        </is>
      </c>
      <c r="D6" s="13" t="n">
        <v>96</v>
      </c>
      <c r="E6" s="13" t="n">
        <v>192</v>
      </c>
      <c r="F6" s="14">
        <f>CHOOSE(Inputs!$B$5,D6,(D6+E6)/2,E6)</f>
        <v/>
      </c>
      <c r="G6" s="7" t="n"/>
    </row>
    <row r="7">
      <c r="A7" s="4" t="inlineStr">
        <is>
          <t>M3</t>
        </is>
      </c>
      <c r="B7" s="7" t="inlineStr">
        <is>
          <t>Crypto stack</t>
        </is>
      </c>
      <c r="C7" s="12" t="inlineStr">
        <is>
          <t>Csm / CryIf / crypto driver configuration and integration</t>
        </is>
      </c>
      <c r="D7" s="13" t="n">
        <v>56</v>
      </c>
      <c r="E7" s="13" t="n">
        <v>112</v>
      </c>
      <c r="F7" s="14">
        <f>CHOOSE(Inputs!$B$5,D7,(D7+E7)/2,E7)</f>
        <v/>
      </c>
      <c r="G7" s="7" t="n"/>
    </row>
    <row r="8">
      <c r="A8" s="4" t="inlineStr">
        <is>
          <t>M4</t>
        </is>
      </c>
      <c r="B8" s="7" t="inlineStr">
        <is>
          <t>Key handling (KeyM)</t>
        </is>
      </c>
      <c r="C8" s="12" t="inlineStr">
        <is>
          <t>KeyM, key set, key storage (NvM) for the agreed keys</t>
        </is>
      </c>
      <c r="D8" s="13" t="n">
        <v>32</v>
      </c>
      <c r="E8" s="13" t="n">
        <v>64</v>
      </c>
      <c r="F8" s="14">
        <f>CHOOSE(Inputs!$B$5,D8,(D8+E8)/2,E8)</f>
        <v/>
      </c>
      <c r="G8" s="7" t="n"/>
    </row>
    <row r="9">
      <c r="A9" s="4" t="inlineStr">
        <is>
          <t>M5</t>
        </is>
      </c>
      <c r="B9" s="7" t="inlineStr">
        <is>
          <t>Secure boot</t>
        </is>
      </c>
      <c r="C9" s="12" t="inlineStr">
        <is>
          <t>Boot chain bootloader -&gt; HSM, incl. OTA path where in scope</t>
        </is>
      </c>
      <c r="D9" s="13" t="n">
        <v>96</v>
      </c>
      <c r="E9" s="13" t="n">
        <v>192</v>
      </c>
      <c r="F9" s="14">
        <f>CHOOSE(Inputs!$B$5,D9,(D9+E9)/2,E9)</f>
        <v/>
      </c>
      <c r="G9" s="7" t="n"/>
    </row>
    <row r="10">
      <c r="A10" s="4" t="inlineStr">
        <is>
          <t>M6</t>
        </is>
      </c>
      <c r="B10" s="7" t="inlineStr">
        <is>
          <t>Secure flashing and secure diagnostics</t>
        </is>
      </c>
      <c r="C10" s="12" t="inlineStr">
        <is>
          <t>Secure flashing, SecurityAccess / authentication services</t>
        </is>
      </c>
      <c r="D10" s="13" t="n">
        <v>56</v>
      </c>
      <c r="E10" s="13" t="n">
        <v>112</v>
      </c>
      <c r="F10" s="14">
        <f>CHOOSE(Inputs!$B$5,D10,(D10+E10)/2,E10)</f>
        <v/>
      </c>
      <c r="G10" s="7" t="n"/>
    </row>
    <row r="11">
      <c r="A11" s="4" t="inlineStr">
        <is>
          <t>M7</t>
        </is>
      </c>
      <c r="B11" s="7" t="inlineStr">
        <is>
          <t>Secure communication (SecOC / FVM)</t>
        </is>
      </c>
      <c r="C11" s="12" t="inlineStr">
        <is>
          <t>SecOC and freshness value management, MAC verification on the bus</t>
        </is>
      </c>
      <c r="D11" s="13" t="n">
        <v>72</v>
      </c>
      <c r="E11" s="13" t="n">
        <v>144</v>
      </c>
      <c r="F11" s="14">
        <f>CHOOSE(Inputs!$B$5,D11,(D11+E11)/2,E11)</f>
        <v/>
      </c>
      <c r="G11" s="7" t="n"/>
    </row>
    <row r="12">
      <c r="A12" s="4" t="inlineStr">
        <is>
          <t>M8</t>
        </is>
      </c>
      <c r="B12" s="7" t="inlineStr">
        <is>
          <t>On-target acceptance testing</t>
        </is>
      </c>
      <c r="C12" s="12" t="inlineStr">
        <is>
          <t>Acceptance test execution, debugging, test report</t>
        </is>
      </c>
      <c r="D12" s="13" t="n">
        <v>40</v>
      </c>
      <c r="E12" s="13" t="n">
        <v>88</v>
      </c>
      <c r="F12" s="14">
        <f>CHOOSE(Inputs!$B$5,D12,(D12+E12)/2,E12)</f>
        <v/>
      </c>
      <c r="G12" s="7" t="n"/>
    </row>
    <row r="13">
      <c r="A13" s="4" t="inlineStr">
        <is>
          <t>M9</t>
        </is>
      </c>
      <c r="B13" s="7" t="inlineStr">
        <is>
          <t>(spare: add a module)</t>
        </is>
      </c>
      <c r="C13" s="12" t="inlineStr"/>
      <c r="D13" s="13" t="n">
        <v>0</v>
      </c>
      <c r="E13" s="13" t="n">
        <v>0</v>
      </c>
      <c r="F13" s="14">
        <f>CHOOSE(Inputs!$B$5,D13,(D13+E13)/2,E13)</f>
        <v/>
      </c>
      <c r="G13" s="7" t="n"/>
    </row>
    <row r="14">
      <c r="A14" s="4" t="inlineStr">
        <is>
          <t>M10</t>
        </is>
      </c>
      <c r="B14" s="7" t="inlineStr">
        <is>
          <t>(spare: add a module)</t>
        </is>
      </c>
      <c r="C14" s="12" t="inlineStr"/>
      <c r="D14" s="13" t="n">
        <v>0</v>
      </c>
      <c r="E14" s="13" t="n">
        <v>0</v>
      </c>
      <c r="F14" s="14">
        <f>CHOOSE(Inputs!$B$5,D14,(D14+E14)/2,E14)</f>
        <v/>
      </c>
      <c r="G14" s="7" t="n"/>
    </row>
    <row r="15">
      <c r="B15" s="11" t="inlineStr">
        <is>
          <t>Total</t>
        </is>
      </c>
      <c r="D15" s="15">
        <f>SUM(D5:D14)</f>
        <v/>
      </c>
      <c r="E15" s="15">
        <f>SUM(E5:E14)</f>
        <v/>
      </c>
      <c r="F15" s="15">
        <f>SUM(F5:F14)</f>
        <v/>
      </c>
    </row>
    <row r="16">
      <c r="B16" s="4" t="inlineStr">
        <is>
          <t>Total in person-months</t>
        </is>
      </c>
      <c r="D16" s="16">
        <f>D15/Inputs!$B$6</f>
        <v/>
      </c>
      <c r="E16" s="16">
        <f>E15/Inputs!$B$6</f>
        <v/>
      </c>
      <c r="F16" s="16">
        <f>F15/Inputs!$B$6</f>
        <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54"/>
  <sheetViews>
    <sheetView showGridLines="0" workbookViewId="0">
      <selection activeCell="A1" sqref="A1"/>
    </sheetView>
  </sheetViews>
  <sheetFormatPr baseColWidth="8" defaultRowHeight="15"/>
  <cols>
    <col width="6" customWidth="1" min="1" max="1"/>
    <col width="70" customWidth="1" min="2" max="2"/>
    <col width="22" customWidth="1" min="3" max="3"/>
    <col width="22" customWidth="1" min="4" max="4"/>
    <col width="22" customWidth="1" min="5" max="5"/>
    <col width="22" customWidth="1" min="6" max="6"/>
  </cols>
  <sheetData>
    <row r="1">
      <c r="A1" s="1" t="inlineStr">
        <is>
          <t>Packages: which modules each package contains, and its price</t>
        </is>
      </c>
    </row>
    <row r="2">
      <c r="A2" s="2" t="inlineStr">
        <is>
          <t>Factor per module: 1 = full new work, 0.3-0.6 = partial / reused work (derivatives), 0 = not included. Edit blue factors; everything below is calculated.</t>
        </is>
      </c>
    </row>
    <row r="4" ht="45" customHeight="1">
      <c r="A4" s="3" t="inlineStr">
        <is>
          <t>ID</t>
        </is>
      </c>
      <c r="B4" s="3" t="inlineStr">
        <is>
          <t>Module</t>
        </is>
      </c>
      <c r="C4" s="3" t="inlineStr">
        <is>
          <t>P1 Secure ECU Package (new ECU)</t>
        </is>
      </c>
      <c r="D4" s="3" t="inlineStr">
        <is>
          <t>P2 Secure ECU Derivative</t>
        </is>
      </c>
      <c r="E4" s="3" t="inlineStr">
        <is>
          <t>P3 Secure Boot &amp; Flashing</t>
        </is>
      </c>
      <c r="F4" s="3" t="inlineStr">
        <is>
          <t>P4 Secure Communication (SecOC)</t>
        </is>
      </c>
    </row>
    <row r="5">
      <c r="A5" s="17">
        <f>Modules!A5</f>
        <v/>
      </c>
      <c r="B5" s="17">
        <f>Modules!B5</f>
        <v/>
      </c>
      <c r="C5" s="18" t="n">
        <v>1</v>
      </c>
      <c r="D5" s="18" t="n">
        <v>0.5</v>
      </c>
      <c r="E5" s="18" t="n">
        <v>1</v>
      </c>
      <c r="F5" s="18" t="n">
        <v>0.7</v>
      </c>
    </row>
    <row r="6">
      <c r="A6" s="17">
        <f>Modules!A6</f>
        <v/>
      </c>
      <c r="B6" s="17">
        <f>Modules!B6</f>
        <v/>
      </c>
      <c r="C6" s="18" t="n">
        <v>1</v>
      </c>
      <c r="D6" s="18" t="n">
        <v>0.3</v>
      </c>
      <c r="E6" s="18" t="n">
        <v>1</v>
      </c>
      <c r="F6" s="18" t="n">
        <v>0</v>
      </c>
    </row>
    <row r="7">
      <c r="A7" s="17">
        <f>Modules!A7</f>
        <v/>
      </c>
      <c r="B7" s="17">
        <f>Modules!B7</f>
        <v/>
      </c>
      <c r="C7" s="18" t="n">
        <v>1</v>
      </c>
      <c r="D7" s="18" t="n">
        <v>0.3</v>
      </c>
      <c r="E7" s="18" t="n">
        <v>1</v>
      </c>
      <c r="F7" s="18" t="n">
        <v>0.5</v>
      </c>
    </row>
    <row r="8">
      <c r="A8" s="17">
        <f>Modules!A8</f>
        <v/>
      </c>
      <c r="B8" s="17">
        <f>Modules!B8</f>
        <v/>
      </c>
      <c r="C8" s="18" t="n">
        <v>1</v>
      </c>
      <c r="D8" s="18" t="n">
        <v>0.4</v>
      </c>
      <c r="E8" s="18" t="n">
        <v>0.5</v>
      </c>
      <c r="F8" s="18" t="n">
        <v>1</v>
      </c>
    </row>
    <row r="9">
      <c r="A9" s="17">
        <f>Modules!A9</f>
        <v/>
      </c>
      <c r="B9" s="17">
        <f>Modules!B9</f>
        <v/>
      </c>
      <c r="C9" s="18" t="n">
        <v>1</v>
      </c>
      <c r="D9" s="18" t="n">
        <v>0.3</v>
      </c>
      <c r="E9" s="18" t="n">
        <v>1</v>
      </c>
      <c r="F9" s="18" t="n">
        <v>0</v>
      </c>
    </row>
    <row r="10">
      <c r="A10" s="17">
        <f>Modules!A10</f>
        <v/>
      </c>
      <c r="B10" s="17">
        <f>Modules!B10</f>
        <v/>
      </c>
      <c r="C10" s="18" t="n">
        <v>1</v>
      </c>
      <c r="D10" s="18" t="n">
        <v>0.3</v>
      </c>
      <c r="E10" s="18" t="n">
        <v>1</v>
      </c>
      <c r="F10" s="18" t="n">
        <v>0</v>
      </c>
    </row>
    <row r="11">
      <c r="A11" s="17">
        <f>Modules!A11</f>
        <v/>
      </c>
      <c r="B11" s="17">
        <f>Modules!B11</f>
        <v/>
      </c>
      <c r="C11" s="18" t="n">
        <v>1</v>
      </c>
      <c r="D11" s="18" t="n">
        <v>0.5</v>
      </c>
      <c r="E11" s="18" t="n">
        <v>0</v>
      </c>
      <c r="F11" s="18" t="n">
        <v>1</v>
      </c>
    </row>
    <row r="12">
      <c r="A12" s="17">
        <f>Modules!A12</f>
        <v/>
      </c>
      <c r="B12" s="17">
        <f>Modules!B12</f>
        <v/>
      </c>
      <c r="C12" s="18" t="n">
        <v>1</v>
      </c>
      <c r="D12" s="18" t="n">
        <v>0.6</v>
      </c>
      <c r="E12" s="18" t="n">
        <v>0.7</v>
      </c>
      <c r="F12" s="18" t="n">
        <v>0.5</v>
      </c>
    </row>
    <row r="13">
      <c r="A13" s="17">
        <f>Modules!A13</f>
        <v/>
      </c>
      <c r="B13" s="17">
        <f>Modules!B13</f>
        <v/>
      </c>
      <c r="C13" s="18" t="n">
        <v>0</v>
      </c>
      <c r="D13" s="18" t="n">
        <v>0</v>
      </c>
      <c r="E13" s="18" t="n">
        <v>0</v>
      </c>
      <c r="F13" s="18" t="n">
        <v>0</v>
      </c>
    </row>
    <row r="14">
      <c r="A14" s="17">
        <f>Modules!A14</f>
        <v/>
      </c>
      <c r="B14" s="17">
        <f>Modules!B14</f>
        <v/>
      </c>
      <c r="C14" s="18" t="n">
        <v>0</v>
      </c>
      <c r="D14" s="18" t="n">
        <v>0</v>
      </c>
      <c r="E14" s="18" t="n">
        <v>0</v>
      </c>
      <c r="F14" s="18" t="n">
        <v>0</v>
      </c>
    </row>
    <row r="15">
      <c r="A15" s="2" t="inlineStr">
        <is>
          <t>Note: P2 factors assume the same stack and MCU family as an ECU already delivered. P4 assumes the HSM and crypto stack are already integrated on the ECU. All factors are Claude's assumptions.</t>
        </is>
      </c>
    </row>
    <row r="17">
      <c r="B17" s="19" t="inlineStr">
        <is>
          <t>Effort (hours)</t>
        </is>
      </c>
      <c r="C17" s="20" t="n"/>
      <c r="D17" s="20" t="n"/>
      <c r="E17" s="20" t="n"/>
      <c r="F17" s="20" t="n"/>
    </row>
    <row r="18">
      <c r="B18" s="4" t="inlineStr">
        <is>
          <t>Core engineering hours (baseline, no AI)</t>
        </is>
      </c>
      <c r="C18" s="21">
        <f>SUMPRODUCT(Modules!$F$5:$F$14,C5:C14)</f>
        <v/>
      </c>
      <c r="D18" s="21">
        <f>SUMPRODUCT(Modules!$F$5:$F$14,D5:D14)</f>
        <v/>
      </c>
      <c r="E18" s="21">
        <f>SUMPRODUCT(Modules!$F$5:$F$14,E5:E14)</f>
        <v/>
      </c>
      <c r="F18" s="21">
        <f>SUMPRODUCT(Modules!$F$5:$F$14,F5:F14)</f>
        <v/>
      </c>
    </row>
    <row r="19">
      <c r="B19" s="4" t="inlineStr">
        <is>
          <t>Evidence hours (ASPICE SWE.2-6 for the scope)</t>
        </is>
      </c>
      <c r="C19" s="21">
        <f>C18*Inputs!$B$8</f>
        <v/>
      </c>
      <c r="D19" s="21">
        <f>D18*Inputs!$B$8</f>
        <v/>
      </c>
      <c r="E19" s="21">
        <f>E18*Inputs!$B$8</f>
        <v/>
      </c>
      <c r="F19" s="21">
        <f>F18*Inputs!$B$8</f>
        <v/>
      </c>
    </row>
    <row r="20">
      <c r="B20" s="11" t="inlineStr">
        <is>
          <t>Customer-equivalent hours (what a team without AI needs)</t>
        </is>
      </c>
      <c r="C20" s="15">
        <f>C18+C19</f>
        <v/>
      </c>
      <c r="D20" s="15">
        <f>D18+D19</f>
        <v/>
      </c>
      <c r="E20" s="15">
        <f>E18+E19</f>
        <v/>
      </c>
      <c r="F20" s="15">
        <f>F18+F19</f>
        <v/>
      </c>
    </row>
    <row r="21">
      <c r="B21" s="4" t="inlineStr">
        <is>
          <t>PM, reviews and named sign-off hours</t>
        </is>
      </c>
      <c r="C21" s="21">
        <f>C20*Inputs!$B$9</f>
        <v/>
      </c>
      <c r="D21" s="21">
        <f>D20*Inputs!$B$9</f>
        <v/>
      </c>
      <c r="E21" s="21">
        <f>E20*Inputs!$B$9</f>
        <v/>
      </c>
      <c r="F21" s="21">
        <f>F20*Inputs!$B$9</f>
        <v/>
      </c>
    </row>
    <row r="22">
      <c r="B22" s="4" t="inlineStr">
        <is>
          <t>Our engineering hours after AI</t>
        </is>
      </c>
      <c r="C22" s="21">
        <f>C18*(1-Inputs!$B$10)</f>
        <v/>
      </c>
      <c r="D22" s="21">
        <f>D18*(1-Inputs!$B$10)</f>
        <v/>
      </c>
      <c r="E22" s="21">
        <f>E18*(1-Inputs!$B$10)</f>
        <v/>
      </c>
      <c r="F22" s="21">
        <f>F18*(1-Inputs!$B$10)</f>
        <v/>
      </c>
    </row>
    <row r="23">
      <c r="B23" s="4" t="inlineStr">
        <is>
          <t>Our evidence hours after AI</t>
        </is>
      </c>
      <c r="C23" s="21">
        <f>C19*(1-Inputs!$B$11)</f>
        <v/>
      </c>
      <c r="D23" s="21">
        <f>D19*(1-Inputs!$B$11)</f>
        <v/>
      </c>
      <c r="E23" s="21">
        <f>E19*(1-Inputs!$B$11)</f>
        <v/>
      </c>
      <c r="F23" s="21">
        <f>F19*(1-Inputs!$B$11)</f>
        <v/>
      </c>
    </row>
    <row r="24">
      <c r="B24" s="4" t="inlineStr">
        <is>
          <t>Contingency hours</t>
        </is>
      </c>
      <c r="C24" s="21">
        <f>(C21+C22+C23)*Inputs!$B$12</f>
        <v/>
      </c>
      <c r="D24" s="21">
        <f>(D21+D22+D23)*Inputs!$B$12</f>
        <v/>
      </c>
      <c r="E24" s="21">
        <f>(E21+E22+E23)*Inputs!$B$12</f>
        <v/>
      </c>
      <c r="F24" s="21">
        <f>(F21+F22+F23)*Inputs!$B$12</f>
        <v/>
      </c>
    </row>
    <row r="25">
      <c r="B25" s="11" t="inlineStr">
        <is>
          <t>Our total delivery hours</t>
        </is>
      </c>
      <c r="C25" s="15">
        <f>C21+C22+C23+C24</f>
        <v/>
      </c>
      <c r="D25" s="15">
        <f>D21+D22+D23+D24</f>
        <v/>
      </c>
      <c r="E25" s="15">
        <f>E21+E22+E23+E24</f>
        <v/>
      </c>
      <c r="F25" s="15">
        <f>F21+F22+F23+F24</f>
        <v/>
      </c>
    </row>
    <row r="26">
      <c r="B26" s="4" t="inlineStr">
        <is>
          <t>Our person-months</t>
        </is>
      </c>
      <c r="C26" s="22">
        <f>C25/Inputs!$B$6</f>
        <v/>
      </c>
      <c r="D26" s="22">
        <f>D25/Inputs!$B$6</f>
        <v/>
      </c>
      <c r="E26" s="22">
        <f>E25/Inputs!$B$6</f>
        <v/>
      </c>
      <c r="F26" s="22">
        <f>F25/Inputs!$B$6</f>
        <v/>
      </c>
    </row>
    <row r="27">
      <c r="B27" s="4" t="inlineStr">
        <is>
          <t>Calendar weeks with the delivery team</t>
        </is>
      </c>
      <c r="C27" s="22">
        <f>IF(Inputs!$B$18*Inputs!$B$19=0,0,C25/(Inputs!$B$18*Inputs!$B$19))</f>
        <v/>
      </c>
      <c r="D27" s="22">
        <f>IF(Inputs!$B$18*Inputs!$B$19=0,0,D25/(Inputs!$B$18*Inputs!$B$19))</f>
        <v/>
      </c>
      <c r="E27" s="22">
        <f>IF(Inputs!$B$18*Inputs!$B$19=0,0,E25/(Inputs!$B$18*Inputs!$B$19))</f>
        <v/>
      </c>
      <c r="F27" s="22">
        <f>IF(Inputs!$B$18*Inputs!$B$19=0,0,F25/(Inputs!$B$18*Inputs!$B$19))</f>
        <v/>
      </c>
    </row>
    <row r="29">
      <c r="B29" s="19" t="inlineStr">
        <is>
          <t>Price (EUR)</t>
        </is>
      </c>
      <c r="C29" s="20" t="n"/>
      <c r="D29" s="20" t="n"/>
      <c r="E29" s="20" t="n"/>
      <c r="F29" s="20" t="n"/>
    </row>
    <row r="30">
      <c r="B30" s="4" t="inlineStr">
        <is>
          <t>Delivery cost</t>
        </is>
      </c>
      <c r="C30" s="23">
        <f>C25*Inputs!$B$7</f>
        <v/>
      </c>
      <c r="D30" s="23">
        <f>D25*Inputs!$B$7</f>
        <v/>
      </c>
      <c r="E30" s="23">
        <f>E25*Inputs!$B$7</f>
        <v/>
      </c>
      <c r="F30" s="23">
        <f>F25*Inputs!$B$7</f>
        <v/>
      </c>
    </row>
    <row r="31">
      <c r="B31" s="4" t="inlineStr">
        <is>
          <t>A) Cost-plus floor price (covers margin + guarantee reserve)</t>
        </is>
      </c>
      <c r="C31" s="23">
        <f>IF(1-Inputs!$B$14-Inputs!$B$13&lt;=0,0,C30/(1-Inputs!$B$14-Inputs!$B$13))</f>
        <v/>
      </c>
      <c r="D31" s="23">
        <f>IF(1-Inputs!$B$14-Inputs!$B$13&lt;=0,0,D30/(1-Inputs!$B$14-Inputs!$B$13))</f>
        <v/>
      </c>
      <c r="E31" s="23">
        <f>IF(1-Inputs!$B$14-Inputs!$B$13&lt;=0,0,E30/(1-Inputs!$B$14-Inputs!$B$13))</f>
        <v/>
      </c>
      <c r="F31" s="23">
        <f>IF(1-Inputs!$B$14-Inputs!$B$13&lt;=0,0,F30/(1-Inputs!$B$14-Inputs!$B$13))</f>
        <v/>
      </c>
    </row>
    <row r="32">
      <c r="B32" s="4" t="inlineStr">
        <is>
          <t>B) Value-based price (customer hours x reference rate, less AI pass-through)</t>
        </is>
      </c>
      <c r="C32" s="23">
        <f>C20*Inputs!$B$15*(1-Inputs!$B$16*Inputs!$B$10)</f>
        <v/>
      </c>
      <c r="D32" s="23">
        <f>D20*Inputs!$B$15*(1-Inputs!$B$16*Inputs!$B$10)</f>
        <v/>
      </c>
      <c r="E32" s="23">
        <f>E20*Inputs!$B$15*(1-Inputs!$B$16*Inputs!$B$10)</f>
        <v/>
      </c>
      <c r="F32" s="23">
        <f>F20*Inputs!$B$15*(1-Inputs!$B$16*Inputs!$B$10)</f>
        <v/>
      </c>
    </row>
    <row r="33">
      <c r="B33" s="11" t="inlineStr">
        <is>
          <t>Recommended price = higher of A and B, rounded up</t>
        </is>
      </c>
      <c r="C33" s="24">
        <f>IF(Inputs!$B$17=0,MAX(C31,C32),ROUNDUP(MAX(C31,C32)/Inputs!$B$17,0)*Inputs!$B$17)</f>
        <v/>
      </c>
      <c r="D33" s="24">
        <f>IF(Inputs!$B$17=0,MAX(D31,D32),ROUNDUP(MAX(D31,D32)/Inputs!$B$17,0)*Inputs!$B$17)</f>
        <v/>
      </c>
      <c r="E33" s="24">
        <f>IF(Inputs!$B$17=0,MAX(E31,E32),ROUNDUP(MAX(E31,E32)/Inputs!$B$17,0)*Inputs!$B$17)</f>
        <v/>
      </c>
      <c r="F33" s="24">
        <f>IF(Inputs!$B$17=0,MAX(F31,F32),ROUNDUP(MAX(F31,F32)/Inputs!$B$17,0)*Inputs!$B$17)</f>
        <v/>
      </c>
    </row>
    <row r="34">
      <c r="B34" s="4" t="inlineStr">
        <is>
          <t>Guarantee reserve</t>
        </is>
      </c>
      <c r="C34" s="23">
        <f>C33*Inputs!$B$13</f>
        <v/>
      </c>
      <c r="D34" s="23">
        <f>D33*Inputs!$B$13</f>
        <v/>
      </c>
      <c r="E34" s="23">
        <f>E33*Inputs!$B$13</f>
        <v/>
      </c>
      <c r="F34" s="23">
        <f>F33*Inputs!$B$13</f>
        <v/>
      </c>
    </row>
    <row r="35">
      <c r="B35" s="4" t="inlineStr">
        <is>
          <t>Gross profit</t>
        </is>
      </c>
      <c r="C35" s="23">
        <f>C33-C30-C34</f>
        <v/>
      </c>
      <c r="D35" s="23">
        <f>D33-D30-D34</f>
        <v/>
      </c>
      <c r="E35" s="23">
        <f>E33-E30-E34</f>
        <v/>
      </c>
      <c r="F35" s="23">
        <f>F33-F30-F34</f>
        <v/>
      </c>
    </row>
    <row r="36">
      <c r="B36" s="11" t="inlineStr">
        <is>
          <t>Gross margin</t>
        </is>
      </c>
      <c r="C36" s="25">
        <f>IF(C33=0,0,C35/C33)</f>
        <v/>
      </c>
      <c r="D36" s="25">
        <f>IF(D33=0,0,D35/D33)</f>
        <v/>
      </c>
      <c r="E36" s="25">
        <f>IF(E33=0,0,E35/E33)</f>
        <v/>
      </c>
      <c r="F36" s="25">
        <f>IF(F33=0,0,F35/F33)</f>
        <v/>
      </c>
    </row>
    <row r="37">
      <c r="B37" s="4" t="inlineStr">
        <is>
          <t>Price per customer-equivalent hour (EUR/h)</t>
        </is>
      </c>
      <c r="C37" s="23">
        <f>IF(C20=0,0,C33/C20)</f>
        <v/>
      </c>
      <c r="D37" s="23">
        <f>IF(D20=0,0,D33/D20)</f>
        <v/>
      </c>
      <c r="E37" s="23">
        <f>IF(E20=0,0,E33/E20)</f>
        <v/>
      </c>
      <c r="F37" s="23">
        <f>IF(F20=0,0,F33/F20)</f>
        <v/>
      </c>
    </row>
    <row r="39">
      <c r="B39" s="19" t="inlineStr">
        <is>
          <t>Customer's alternative cost for the same scope (EUR)</t>
        </is>
      </c>
      <c r="C39" s="20" t="n"/>
      <c r="D39" s="20" t="n"/>
      <c r="E39" s="20" t="n"/>
      <c r="F39" s="20" t="n"/>
    </row>
    <row r="40">
      <c r="B40" s="4" t="inlineStr">
        <is>
          <t>German ESP / vendor (low)</t>
        </is>
      </c>
      <c r="C40" s="23">
        <f>C20*Inputs!$B$24</f>
        <v/>
      </c>
      <c r="D40" s="23">
        <f>D20*Inputs!$B$24</f>
        <v/>
      </c>
      <c r="E40" s="23">
        <f>E20*Inputs!$B$24</f>
        <v/>
      </c>
      <c r="F40" s="23">
        <f>F20*Inputs!$B$24</f>
        <v/>
      </c>
    </row>
    <row r="41">
      <c r="B41" s="4" t="inlineStr">
        <is>
          <t>German ESP / vendor (high)</t>
        </is>
      </c>
      <c r="C41" s="23">
        <f>C20*Inputs!$C$24</f>
        <v/>
      </c>
      <c r="D41" s="23">
        <f>D20*Inputs!$C$24</f>
        <v/>
      </c>
      <c r="E41" s="23">
        <f>E20*Inputs!$C$24</f>
        <v/>
      </c>
      <c r="F41" s="23">
        <f>F20*Inputs!$C$24</f>
        <v/>
      </c>
    </row>
    <row r="42">
      <c r="B42" s="4" t="inlineStr">
        <is>
          <t>DACH freelancer (low)</t>
        </is>
      </c>
      <c r="C42" s="23">
        <f>C20*Inputs!$B$25</f>
        <v/>
      </c>
      <c r="D42" s="23">
        <f>D20*Inputs!$B$25</f>
        <v/>
      </c>
      <c r="E42" s="23">
        <f>E20*Inputs!$B$25</f>
        <v/>
      </c>
      <c r="F42" s="23">
        <f>F20*Inputs!$B$25</f>
        <v/>
      </c>
    </row>
    <row r="43">
      <c r="B43" s="4" t="inlineStr">
        <is>
          <t>DACH freelancer (high)</t>
        </is>
      </c>
      <c r="C43" s="23">
        <f>C20*Inputs!$C$25</f>
        <v/>
      </c>
      <c r="D43" s="23">
        <f>D20*Inputs!$C$25</f>
        <v/>
      </c>
      <c r="E43" s="23">
        <f>E20*Inputs!$C$25</f>
        <v/>
      </c>
      <c r="F43" s="23">
        <f>F20*Inputs!$C$25</f>
        <v/>
      </c>
    </row>
    <row r="44">
      <c r="B44" s="4" t="inlineStr">
        <is>
          <t>Eastern Europe ESP (low)</t>
        </is>
      </c>
      <c r="C44" s="23">
        <f>C20*Inputs!$B$26</f>
        <v/>
      </c>
      <c r="D44" s="23">
        <f>D20*Inputs!$B$26</f>
        <v/>
      </c>
      <c r="E44" s="23">
        <f>E20*Inputs!$B$26</f>
        <v/>
      </c>
      <c r="F44" s="23">
        <f>F20*Inputs!$B$26</f>
        <v/>
      </c>
    </row>
    <row r="45">
      <c r="B45" s="4" t="inlineStr">
        <is>
          <t>Eastern Europe ESP (high)</t>
        </is>
      </c>
      <c r="C45" s="23">
        <f>C20*Inputs!$C$26</f>
        <v/>
      </c>
      <c r="D45" s="23">
        <f>D20*Inputs!$C$26</f>
        <v/>
      </c>
      <c r="E45" s="23">
        <f>E20*Inputs!$C$26</f>
        <v/>
      </c>
      <c r="F45" s="23">
        <f>F20*Inputs!$C$26</f>
        <v/>
      </c>
    </row>
    <row r="46">
      <c r="B46" s="4" t="inlineStr">
        <is>
          <t>India / Egypt ESP (low)</t>
        </is>
      </c>
      <c r="C46" s="23">
        <f>C20*Inputs!$B$27</f>
        <v/>
      </c>
      <c r="D46" s="23">
        <f>D20*Inputs!$B$27</f>
        <v/>
      </c>
      <c r="E46" s="23">
        <f>E20*Inputs!$B$27</f>
        <v/>
      </c>
      <c r="F46" s="23">
        <f>F20*Inputs!$B$27</f>
        <v/>
      </c>
    </row>
    <row r="47">
      <c r="B47" s="4" t="inlineStr">
        <is>
          <t>India / Egypt ESP (high)</t>
        </is>
      </c>
      <c r="C47" s="23">
        <f>C20*Inputs!$C$27</f>
        <v/>
      </c>
      <c r="D47" s="23">
        <f>D20*Inputs!$C$27</f>
        <v/>
      </c>
      <c r="E47" s="23">
        <f>E20*Inputs!$C$27</f>
        <v/>
      </c>
      <c r="F47" s="23">
        <f>F20*Inputs!$C$27</f>
        <v/>
      </c>
    </row>
    <row r="49">
      <c r="B49" s="19" t="inlineStr">
        <is>
          <t>Revenue and capacity</t>
        </is>
      </c>
      <c r="C49" s="20" t="n"/>
      <c r="D49" s="20" t="n"/>
      <c r="E49" s="20" t="n"/>
      <c r="F49" s="20" t="n"/>
    </row>
    <row r="50">
      <c r="B50" s="4" t="inlineStr">
        <is>
          <t>Packages per year for EUR 100k revenue</t>
        </is>
      </c>
      <c r="C50" s="22">
        <f>IF(C33=0,0,100000/C33)</f>
        <v/>
      </c>
      <c r="D50" s="22">
        <f>IF(D33=0,0,100000/D33)</f>
        <v/>
      </c>
      <c r="E50" s="22">
        <f>IF(E33=0,0,100000/E33)</f>
        <v/>
      </c>
      <c r="F50" s="22">
        <f>IF(F33=0,0,100000/F33)</f>
        <v/>
      </c>
    </row>
    <row r="51">
      <c r="B51" s="4" t="inlineStr">
        <is>
          <t>Packages per year for EUR 1M revenue</t>
        </is>
      </c>
      <c r="C51" s="22">
        <f>IF(C33=0,0,1000000/C33)</f>
        <v/>
      </c>
      <c r="D51" s="22">
        <f>IF(D33=0,0,1000000/D33)</f>
        <v/>
      </c>
      <c r="E51" s="22">
        <f>IF(E33=0,0,1000000/E33)</f>
        <v/>
      </c>
      <c r="F51" s="22">
        <f>IF(F33=0,0,1000000/F33)</f>
        <v/>
      </c>
    </row>
    <row r="52">
      <c r="B52" s="4" t="inlineStr">
        <is>
          <t>Packages per month for EUR 1M revenue</t>
        </is>
      </c>
      <c r="C52" s="26">
        <f>C51/12</f>
        <v/>
      </c>
      <c r="D52" s="26">
        <f>D51/12</f>
        <v/>
      </c>
      <c r="E52" s="26">
        <f>E51/12</f>
        <v/>
      </c>
      <c r="F52" s="26">
        <f>F51/12</f>
        <v/>
      </c>
    </row>
    <row r="53">
      <c r="B53" s="4" t="inlineStr">
        <is>
          <t>Team capacity (packages per year, this package only)</t>
        </is>
      </c>
      <c r="C53" s="22">
        <f>IF(C25=0,0,Inputs!$B$18*Inputs!$B$19*Inputs!$B$20/C25)</f>
        <v/>
      </c>
      <c r="D53" s="22">
        <f>IF(D25=0,0,Inputs!$B$18*Inputs!$B$19*Inputs!$B$20/D25)</f>
        <v/>
      </c>
      <c r="E53" s="22">
        <f>IF(E25=0,0,Inputs!$B$18*Inputs!$B$19*Inputs!$B$20/E25)</f>
        <v/>
      </c>
      <c r="F53" s="22">
        <f>IF(F25=0,0,Inputs!$B$18*Inputs!$B$19*Inputs!$B$20/F25)</f>
        <v/>
      </c>
    </row>
    <row r="54">
      <c r="B54" s="4" t="inlineStr">
        <is>
          <t>Revenue at full capacity (this package only)</t>
        </is>
      </c>
      <c r="C54" s="23">
        <f>C53*C33</f>
        <v/>
      </c>
      <c r="D54" s="23">
        <f>D53*D33</f>
        <v/>
      </c>
      <c r="E54" s="23">
        <f>E53*E33</f>
        <v/>
      </c>
      <c r="F54" s="23">
        <f>F53*F33</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26" customWidth="1" min="1" max="1"/>
    <col width="18" customWidth="1" min="2" max="2"/>
    <col width="20" customWidth="1" min="3" max="3"/>
    <col width="24" customWidth="1" min="4" max="4"/>
    <col width="24" customWidth="1" min="5" max="5"/>
    <col width="26" customWidth="1" min="6" max="6"/>
  </cols>
  <sheetData>
    <row r="1">
      <c r="A1" s="1" t="inlineStr">
        <is>
          <t>P1 Secure ECU Package: what AI leverage does to cost and margin</t>
        </is>
      </c>
    </row>
    <row r="2">
      <c r="A2" s="2" t="inlineStr">
        <is>
          <t>Each row applies one AI saving to engineering and evidence hours. Column D keeps today's P1 price; columns E-F recalculate it.</t>
        </is>
      </c>
    </row>
    <row r="4">
      <c r="A4" s="3" t="inlineStr">
        <is>
          <t>AI saving (eng. + evidence)</t>
        </is>
      </c>
      <c r="B4" s="3" t="inlineStr">
        <is>
          <t>Our total hours</t>
        </is>
      </c>
      <c r="C4" s="3" t="inlineStr">
        <is>
          <t>Delivery cost (EUR)</t>
        </is>
      </c>
      <c r="D4" s="3" t="inlineStr">
        <is>
          <t>Margin at current P1 price</t>
        </is>
      </c>
      <c r="E4" s="3" t="inlineStr">
        <is>
          <t>Recalculated price (EUR)</t>
        </is>
      </c>
      <c r="F4" s="3" t="inlineStr">
        <is>
          <t>Margin at recalculated price</t>
        </is>
      </c>
    </row>
    <row r="5">
      <c r="A5" s="27" t="n">
        <v>0</v>
      </c>
      <c r="B5" s="21">
        <f>(Packages!$C$18*(1-A5)+Packages!$C$19*(1-A5)+Packages!$C$21)*(1+Inputs!$B$12)</f>
        <v/>
      </c>
      <c r="C5" s="23">
        <f>B5*Inputs!$B$7</f>
        <v/>
      </c>
      <c r="D5" s="28">
        <f>IF(Packages!$C$33=0,0,(Packages!$C$33-C5-Packages!$C$33*Inputs!$B$13)/Packages!$C$33)</f>
        <v/>
      </c>
      <c r="E5" s="23">
        <f>IF(Inputs!$B$17=0,0,ROUNDUP(MAX(IF(1-Inputs!$B$14-Inputs!$B$13&lt;=0,0,C5/(1-Inputs!$B$14-Inputs!$B$13)),Packages!$C$20*Inputs!$B$15*(1-Inputs!$B$16*A5))/Inputs!$B$17,0)*Inputs!$B$17)</f>
        <v/>
      </c>
      <c r="F5" s="28">
        <f>IF(E5=0,0,(E5-C5-E5*Inputs!$B$13)/E5)</f>
        <v/>
      </c>
    </row>
    <row r="6">
      <c r="A6" s="27" t="n">
        <v>0.15</v>
      </c>
      <c r="B6" s="21">
        <f>(Packages!$C$18*(1-A6)+Packages!$C$19*(1-A6)+Packages!$C$21)*(1+Inputs!$B$12)</f>
        <v/>
      </c>
      <c r="C6" s="23">
        <f>B6*Inputs!$B$7</f>
        <v/>
      </c>
      <c r="D6" s="28">
        <f>IF(Packages!$C$33=0,0,(Packages!$C$33-C6-Packages!$C$33*Inputs!$B$13)/Packages!$C$33)</f>
        <v/>
      </c>
      <c r="E6" s="23">
        <f>IF(Inputs!$B$17=0,0,ROUNDUP(MAX(IF(1-Inputs!$B$14-Inputs!$B$13&lt;=0,0,C6/(1-Inputs!$B$14-Inputs!$B$13)),Packages!$C$20*Inputs!$B$15*(1-Inputs!$B$16*A6))/Inputs!$B$17,0)*Inputs!$B$17)</f>
        <v/>
      </c>
      <c r="F6" s="28">
        <f>IF(E6=0,0,(E6-C6-E6*Inputs!$B$13)/E6)</f>
        <v/>
      </c>
    </row>
    <row r="7">
      <c r="A7" s="27" t="n">
        <v>0.3</v>
      </c>
      <c r="B7" s="21">
        <f>(Packages!$C$18*(1-A7)+Packages!$C$19*(1-A7)+Packages!$C$21)*(1+Inputs!$B$12)</f>
        <v/>
      </c>
      <c r="C7" s="23">
        <f>B7*Inputs!$B$7</f>
        <v/>
      </c>
      <c r="D7" s="28">
        <f>IF(Packages!$C$33=0,0,(Packages!$C$33-C7-Packages!$C$33*Inputs!$B$13)/Packages!$C$33)</f>
        <v/>
      </c>
      <c r="E7" s="23">
        <f>IF(Inputs!$B$17=0,0,ROUNDUP(MAX(IF(1-Inputs!$B$14-Inputs!$B$13&lt;=0,0,C7/(1-Inputs!$B$14-Inputs!$B$13)),Packages!$C$20*Inputs!$B$15*(1-Inputs!$B$16*A7))/Inputs!$B$17,0)*Inputs!$B$17)</f>
        <v/>
      </c>
      <c r="F7" s="28">
        <f>IF(E7=0,0,(E7-C7-E7*Inputs!$B$13)/E7)</f>
        <v/>
      </c>
    </row>
    <row r="8">
      <c r="A8" s="27" t="n">
        <v>0.45</v>
      </c>
      <c r="B8" s="21">
        <f>(Packages!$C$18*(1-A8)+Packages!$C$19*(1-A8)+Packages!$C$21)*(1+Inputs!$B$12)</f>
        <v/>
      </c>
      <c r="C8" s="23">
        <f>B8*Inputs!$B$7</f>
        <v/>
      </c>
      <c r="D8" s="28">
        <f>IF(Packages!$C$33=0,0,(Packages!$C$33-C8-Packages!$C$33*Inputs!$B$13)/Packages!$C$33)</f>
        <v/>
      </c>
      <c r="E8" s="23">
        <f>IF(Inputs!$B$17=0,0,ROUNDUP(MAX(IF(1-Inputs!$B$14-Inputs!$B$13&lt;=0,0,C8/(1-Inputs!$B$14-Inputs!$B$13)),Packages!$C$20*Inputs!$B$15*(1-Inputs!$B$16*A8))/Inputs!$B$17,0)*Inputs!$B$17)</f>
        <v/>
      </c>
      <c r="F8" s="28">
        <f>IF(E8=0,0,(E8-C8-E8*Inputs!$B$13)/E8)</f>
        <v/>
      </c>
    </row>
    <row r="9">
      <c r="A9" s="27" t="n">
        <v>0.6</v>
      </c>
      <c r="B9" s="21">
        <f>(Packages!$C$18*(1-A9)+Packages!$C$19*(1-A9)+Packages!$C$21)*(1+Inputs!$B$12)</f>
        <v/>
      </c>
      <c r="C9" s="23">
        <f>B9*Inputs!$B$7</f>
        <v/>
      </c>
      <c r="D9" s="28">
        <f>IF(Packages!$C$33=0,0,(Packages!$C$33-C9-Packages!$C$33*Inputs!$B$13)/Packages!$C$33)</f>
        <v/>
      </c>
      <c r="E9" s="23">
        <f>IF(Inputs!$B$17=0,0,ROUNDUP(MAX(IF(1-Inputs!$B$14-Inputs!$B$13&lt;=0,0,C9/(1-Inputs!$B$14-Inputs!$B$13)),Packages!$C$20*Inputs!$B$15*(1-Inputs!$B$16*A9))/Inputs!$B$17,0)*Inputs!$B$17)</f>
        <v/>
      </c>
      <c r="F9" s="28">
        <f>IF(E9=0,0,(E9-C9-E9*Inputs!$B$13)/E9)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50" customWidth="1" min="1" max="1"/>
  </cols>
  <sheetData>
    <row r="1">
      <c r="A1" s="1" t="inlineStr">
        <is>
          <t>Secure ECU Package pricing model: notes</t>
        </is>
      </c>
    </row>
    <row r="2">
      <c r="A2" s="2" t="inlineStr">
        <is>
          <t>Built 2026-10-25 for Phase 5 (sk-offer). Session: ai-automotive-sw.</t>
        </is>
      </c>
    </row>
    <row r="3">
      <c r="A3" s="4" t="inlineStr"/>
    </row>
    <row r="4">
      <c r="A4" s="11" t="inlineStr">
        <is>
          <t>How the price is set</t>
        </is>
      </c>
    </row>
    <row r="5">
      <c r="A5" s="4" t="inlineStr">
        <is>
          <t>1. Module hours (Modules) x package factors (Packages) = core engineering hours for each package, without AI.</t>
        </is>
      </c>
    </row>
    <row r="6">
      <c r="A6" s="4" t="inlineStr">
        <is>
          <t>2. Evidence and PM/sign-off hours are added as percentages (Inputs).</t>
        </is>
      </c>
    </row>
    <row r="7">
      <c r="A7" s="4" t="inlineStr">
        <is>
          <t>3. Our delivery hours apply the AI saving and a contingency; cost = hours x internal cost per hour.</t>
        </is>
      </c>
    </row>
    <row r="8">
      <c r="A8" s="4" t="inlineStr">
        <is>
          <t>4. Price A (cost-plus floor) secures the target margin after the guarantee reserve.</t>
        </is>
      </c>
    </row>
    <row r="9">
      <c r="A9" s="4" t="inlineStr">
        <is>
          <t>5. Price B (value-based) prices the customer-equivalent hours at the market reference rate, minus the share of the AI saving passed through.</t>
        </is>
      </c>
    </row>
    <row r="10">
      <c r="A10" s="4" t="inlineStr">
        <is>
          <t>6. Recommended price = the higher of A and B, rounded up. Never quote hours or day rates to buyers; quote per package only.</t>
        </is>
      </c>
    </row>
    <row r="11">
      <c r="A11" s="4" t="inlineStr"/>
    </row>
    <row r="12">
      <c r="A12" s="11" t="inlineStr">
        <is>
          <t>Data status</t>
        </is>
      </c>
    </row>
    <row r="13">
      <c r="A13" s="4" t="inlineStr">
        <is>
          <t>Founder-supplied: total effort for a full security scope on one ECU = 3-6 person-months (480-960 h), without AI, from past programmes (memory, not timesheets).</t>
        </is>
      </c>
    </row>
    <row r="14">
      <c r="A14" s="4" t="inlineStr">
        <is>
          <t>Claude's estimates: the split of that total across modules, all package factors, evidence %, PM %, contingency, AI saving, internal cost/h.</t>
        </is>
      </c>
    </row>
    <row r="15">
      <c r="A15" s="4" t="inlineStr">
        <is>
          <t>Market rates: Phase 3 pricing-landscape.md (V1-corrected) and Phase 4 alternative-mapping.md.</t>
        </is>
      </c>
    </row>
    <row r="16">
      <c r="A16" s="4" t="inlineStr">
        <is>
          <t>Not yet included: ISO 21434 work products by the planned 21434/TARA hire or partner (add as a spare module or a cost line once known).</t>
        </is>
      </c>
    </row>
    <row r="17">
      <c r="A17" s="4" t="inlineStr"/>
    </row>
    <row r="18">
      <c r="A18" s="11" t="inlineStr">
        <is>
          <t>Before using a price with a buyer</t>
        </is>
      </c>
    </row>
    <row r="19">
      <c r="A19" s="4" t="inlineStr">
        <is>
          <t>- Replace the yellow cells with your own numbers (timesheets from past programmes if possible).</t>
        </is>
      </c>
    </row>
    <row r="20">
      <c r="A20" s="4" t="inlineStr">
        <is>
          <t>- Measure the AI saving on one real package before trusting any value above 0%.</t>
        </is>
      </c>
    </row>
    <row r="21">
      <c r="A21" s="4" t="inlineStr">
        <is>
          <t>- Phase 7 (money model) will test these prices against buyer interviews (Phase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2026-10-25T14:18:22Z</dcterms:created>
  <dcterms:modified xmlns:dcterms="http://purl.org/dc/terms/" xmlns:xsi="http://www.w3.org/2001/XMLSchema-instance" xsi:type="dcterms:W3CDTF">2026-10-25T14:18:22Z</dcterms:modified>
</cp:coreProperties>
</file>